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\P_WebFestival\"/>
    </mc:Choice>
  </mc:AlternateContent>
  <bookViews>
    <workbookView xWindow="0" yWindow="0" windowWidth="28800" windowHeight="12300" activeTab="4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istTasks" localSheetId="6">#REF!</definedName>
    <definedName name="ListTasks" localSheetId="4">#REF!</definedName>
    <definedName name="ListTasks">#REF!</definedName>
    <definedName name="lstTasks">Donnees!$C$20:$C$46</definedName>
    <definedName name="NbLessons" localSheetId="6">#REF!</definedName>
    <definedName name="NbLessons" localSheetId="4">#REF!</definedName>
    <definedName name="NbLessons">#REF!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" i="156" l="1"/>
  <c r="D20" i="156" s="1"/>
  <c r="D39" i="156" s="1"/>
  <c r="D58" i="156" s="1"/>
  <c r="D77" i="156" s="1"/>
  <c r="D96" i="156" s="1"/>
  <c r="D115" i="156" s="1"/>
  <c r="D134" i="156" s="1"/>
  <c r="D153" i="156" s="1"/>
  <c r="D172" i="156" s="1"/>
  <c r="D191" i="156" s="1"/>
  <c r="D210" i="156" s="1"/>
  <c r="D229" i="156" s="1"/>
  <c r="D248" i="156" s="1"/>
  <c r="D267" i="156" s="1"/>
  <c r="D286" i="156" s="1"/>
  <c r="B303" i="156"/>
  <c r="B284" i="156"/>
  <c r="B265" i="156"/>
  <c r="B246" i="156"/>
  <c r="B227" i="156"/>
  <c r="B208" i="156"/>
  <c r="B189" i="156"/>
  <c r="B170" i="156"/>
  <c r="B151" i="156"/>
  <c r="B132" i="156"/>
  <c r="B113" i="156"/>
  <c r="B94" i="156"/>
  <c r="B75" i="156"/>
  <c r="B56" i="156"/>
  <c r="B37" i="156"/>
  <c r="B18" i="156"/>
  <c r="B223" i="155"/>
  <c r="B209" i="155"/>
  <c r="B195" i="155"/>
  <c r="B181" i="155"/>
  <c r="B167" i="155"/>
  <c r="B153" i="155"/>
  <c r="B139" i="155"/>
  <c r="B125" i="155"/>
  <c r="B111" i="155"/>
  <c r="B97" i="155"/>
  <c r="B83" i="155"/>
  <c r="B69" i="155"/>
  <c r="B55" i="155"/>
  <c r="B41" i="155"/>
  <c r="B27" i="155"/>
  <c r="B13" i="155"/>
  <c r="B18" i="154" l="1"/>
  <c r="B13" i="11" l="1"/>
</calcChain>
</file>

<file path=xl/sharedStrings.xml><?xml version="1.0" encoding="utf-8"?>
<sst xmlns="http://schemas.openxmlformats.org/spreadsheetml/2006/main" count="337" uniqueCount="56">
  <si>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</si>
  <si>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</si>
  <si>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</si>
  <si>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</si>
  <si>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</si>
  <si>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</si>
  <si>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</si>
  <si>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</si>
  <si>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</si>
  <si>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</si>
  <si>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</si>
  <si>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</si>
  <si>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</si>
  <si>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</si>
  <si>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</si>
  <si>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</si>
  <si>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</si>
  <si>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</si>
  <si>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</si>
  <si>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</si>
  <si>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</si>
  <si>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</si>
  <si>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</si>
  <si>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</si>
  <si>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Application de gestion d'un Festival de Musique</t>
  </si>
  <si>
    <t>Germanier Axel</t>
  </si>
  <si>
    <t>CIN3B</t>
  </si>
  <si>
    <t>École technique des métiers de lausanne</t>
  </si>
  <si>
    <t>jeudi 10 janvier 2018</t>
  </si>
  <si>
    <t>Max. 12</t>
  </si>
  <si>
    <t>STOP</t>
  </si>
  <si>
    <t>Préparations du dossier projet</t>
  </si>
  <si>
    <t>Mise en place du Bootstrap</t>
  </si>
  <si>
    <t>Création de la base de donnée avec PHPMyAdmin</t>
  </si>
  <si>
    <t>Création du schéma MCD avec DBMain</t>
  </si>
  <si>
    <t>Rapport - Analyse</t>
  </si>
  <si>
    <t>Rapport - Réalisation</t>
  </si>
  <si>
    <t>Rapport - Tests</t>
  </si>
  <si>
    <t>Rapport - Conclusion</t>
  </si>
  <si>
    <t>Rapport - Informations</t>
  </si>
  <si>
    <t>Code - Création de la page d'ajout de formulaire</t>
  </si>
  <si>
    <t>Code - Création de la page de modification</t>
  </si>
  <si>
    <t>Code - Suppression</t>
  </si>
  <si>
    <t>Création d'un mockup / croquis du site</t>
  </si>
  <si>
    <t>Code - Impression d'une page</t>
  </si>
  <si>
    <t>Code - Restructuration du code / Indentation</t>
  </si>
  <si>
    <t>Création d'un dépôt / Gitkraken</t>
  </si>
  <si>
    <t>Création du PowerPoint</t>
  </si>
  <si>
    <t>Adaptation du Bootstrap au code</t>
  </si>
  <si>
    <t>Recherche d'un Bootstrap</t>
  </si>
  <si>
    <t>Code - Création de la page Login</t>
  </si>
  <si>
    <t>Code - Création de la page d'accueil</t>
  </si>
  <si>
    <t>Code - Création des sessions / vérification login</t>
  </si>
  <si>
    <t>Code - Responsive Design</t>
  </si>
  <si>
    <t>Réunion avec le chef de projet,Présentation powerpoint du Projet Festival de Musique. Distribution des cahiers des charges. Création de la planification et des tâches à réaliser durant le projet.</t>
  </si>
  <si>
    <t>Téléchargement de GitKraken et installation. Création d'un dépôt GitHub, connexion à Github depuis l'interface Gitkraken, initialisation du dépôt dans Gitkraken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</si>
</sst>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2</xdr:row>
          <xdr:rowOff>228600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4"/>
  <sheetViews>
    <sheetView view="pageBreakPreview" topLeftCell="A16" zoomScaleNormal="100" zoomScaleSheetLayoutView="100" workbookViewId="0">
      <selection activeCell="C41" sqref="C41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43342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 t="s">
        <v>28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16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93" t="s">
        <v>19</v>
      </c>
      <c r="C19" s="94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31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32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34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33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 t="s">
        <v>35</v>
      </c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 t="s">
        <v>36</v>
      </c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 t="s">
        <v>37</v>
      </c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 t="s">
        <v>38</v>
      </c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 t="s">
        <v>39</v>
      </c>
      <c r="D29" s="60"/>
      <c r="E29" s="60"/>
      <c r="F29" s="60"/>
      <c r="G29" s="61"/>
    </row>
    <row r="30" spans="1:13" ht="20.25" x14ac:dyDescent="0.25">
      <c r="A30" s="79"/>
      <c r="B30" s="80"/>
      <c r="C30" s="71" t="s">
        <v>51</v>
      </c>
      <c r="D30" s="60"/>
      <c r="E30" s="60"/>
      <c r="F30" s="60"/>
      <c r="G30" s="61"/>
    </row>
    <row r="31" spans="1:13" ht="20.25" x14ac:dyDescent="0.25">
      <c r="A31" s="79"/>
      <c r="B31" s="80">
        <v>10</v>
      </c>
      <c r="C31" s="71" t="s">
        <v>50</v>
      </c>
      <c r="D31" s="60"/>
      <c r="E31" s="60"/>
      <c r="F31" s="60"/>
      <c r="G31" s="61"/>
    </row>
    <row r="32" spans="1:13" ht="20.25" x14ac:dyDescent="0.25">
      <c r="A32" s="79"/>
      <c r="B32" s="80">
        <v>11</v>
      </c>
      <c r="C32" s="71" t="s">
        <v>40</v>
      </c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2">
        <v>12</v>
      </c>
      <c r="C33" s="71" t="s">
        <v>41</v>
      </c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13</v>
      </c>
      <c r="C34" s="71" t="s">
        <v>52</v>
      </c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0">
        <v>14</v>
      </c>
      <c r="C35" s="72" t="s">
        <v>42</v>
      </c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2">
        <v>15</v>
      </c>
      <c r="C36" s="72" t="s">
        <v>43</v>
      </c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16</v>
      </c>
      <c r="C37" s="71" t="s">
        <v>44</v>
      </c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0">
        <v>17</v>
      </c>
      <c r="C38" s="71" t="s">
        <v>45</v>
      </c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2">
        <v>18</v>
      </c>
      <c r="C39" s="71" t="s">
        <v>46</v>
      </c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19</v>
      </c>
      <c r="C40" s="71" t="s">
        <v>47</v>
      </c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0">
        <v>20</v>
      </c>
      <c r="C41" s="72" t="s">
        <v>49</v>
      </c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2">
        <v>21</v>
      </c>
      <c r="C42" s="72" t="s">
        <v>48</v>
      </c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22</v>
      </c>
      <c r="C43" s="71" t="s">
        <v>53</v>
      </c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0">
        <v>23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0.25" x14ac:dyDescent="0.25">
      <c r="A45" s="79"/>
      <c r="B45" s="82">
        <v>24</v>
      </c>
      <c r="C45" s="71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ht="21" thickBot="1" x14ac:dyDescent="0.3">
      <c r="A46" s="79"/>
      <c r="B46" s="84">
        <v>25</v>
      </c>
      <c r="C46" s="85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56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x14ac:dyDescent="0.25">
      <c r="A54" s="79"/>
      <c r="B54" s="60"/>
      <c r="C54" s="60"/>
      <c r="D54" s="60"/>
      <c r="E54" s="60"/>
      <c r="F54" s="60"/>
      <c r="G54" s="61"/>
      <c r="H54" s="83"/>
      <c r="I54" s="83"/>
      <c r="J54" s="83"/>
      <c r="K54" s="83"/>
      <c r="L54" s="83"/>
      <c r="M54" s="83"/>
    </row>
    <row r="55" spans="1:13" ht="14.25" thickBot="1" x14ac:dyDescent="0.3">
      <c r="A55" s="86"/>
      <c r="B55" s="76"/>
      <c r="C55" s="76"/>
      <c r="D55" s="76"/>
      <c r="E55" s="76"/>
      <c r="F55" s="76"/>
      <c r="G55" s="77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  <row r="74" spans="1:13" x14ac:dyDescent="0.25">
      <c r="A74" s="83"/>
      <c r="B74" s="83"/>
      <c r="C74" s="83"/>
      <c r="D74" s="83"/>
      <c r="E74" s="83"/>
      <c r="F74" s="83"/>
      <c r="G74" s="83"/>
      <c r="H74" s="83"/>
      <c r="I74" s="83"/>
      <c r="J74" s="83"/>
      <c r="K74" s="83"/>
      <c r="L74" s="83"/>
      <c r="M74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95" t="s">
        <v>21</v>
      </c>
      <c r="C3" s="16">
        <v>0</v>
      </c>
    </row>
    <row r="4" spans="1:4" ht="19.5" customHeight="1" x14ac:dyDescent="0.25">
      <c r="A4" s="19"/>
      <c r="B4" s="9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225"/>
  <sheetViews>
    <sheetView tabSelected="1" topLeftCell="A7" workbookViewId="0">
      <selection activeCell="C22" sqref="C2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ht="27" x14ac:dyDescent="0.25">
      <c r="A3" s="5" t="s">
        <v>31</v>
      </c>
      <c r="B3" s="4">
        <v>6</v>
      </c>
      <c r="C3" s="9"/>
      <c r="D3" s="9"/>
    </row>
    <row r="4" spans="1:4" s="53" customFormat="1" ht="27" x14ac:dyDescent="0.25">
      <c r="A4" s="1" t="s">
        <v>46</v>
      </c>
      <c r="B4" s="2">
        <v>6</v>
      </c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12</v>
      </c>
      <c r="C13" s="88" t="s">
        <v>29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ht="27" x14ac:dyDescent="0.25">
      <c r="A17" s="5" t="s">
        <v>34</v>
      </c>
      <c r="B17" s="4">
        <v>6</v>
      </c>
      <c r="C17" s="9"/>
      <c r="D17" s="9"/>
    </row>
    <row r="18" spans="1:9" ht="40.5" x14ac:dyDescent="0.25">
      <c r="A18" s="1" t="s">
        <v>33</v>
      </c>
      <c r="B18" s="2">
        <v>3</v>
      </c>
      <c r="C18" s="10"/>
      <c r="D18" s="10"/>
    </row>
    <row r="19" spans="1:9" ht="40.5" x14ac:dyDescent="0.25">
      <c r="A19" s="1" t="s">
        <v>43</v>
      </c>
      <c r="B19" s="2">
        <v>3</v>
      </c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12</v>
      </c>
      <c r="C27" s="88" t="s">
        <v>29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40.5" x14ac:dyDescent="0.3">
      <c r="A31" s="5" t="s">
        <v>33</v>
      </c>
      <c r="B31" s="4">
        <v>6</v>
      </c>
      <c r="C31" s="9"/>
      <c r="D31" s="9"/>
      <c r="E31" s="20"/>
      <c r="F31" s="41"/>
      <c r="G31" s="41"/>
      <c r="H31" s="41"/>
      <c r="I31" s="20"/>
    </row>
    <row r="32" spans="1:9" ht="27" x14ac:dyDescent="0.25">
      <c r="A32" s="1" t="s">
        <v>32</v>
      </c>
      <c r="B32" s="2">
        <v>6</v>
      </c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12</v>
      </c>
      <c r="C41" s="88" t="s">
        <v>29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ht="27" x14ac:dyDescent="0.25">
      <c r="A45" s="5" t="s">
        <v>48</v>
      </c>
      <c r="B45" s="4">
        <v>8</v>
      </c>
      <c r="C45" s="9"/>
      <c r="D45" s="9"/>
    </row>
    <row r="46" spans="1:9" ht="27" x14ac:dyDescent="0.25">
      <c r="A46" s="1" t="s">
        <v>50</v>
      </c>
      <c r="B46" s="2">
        <v>4</v>
      </c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12</v>
      </c>
      <c r="C55" s="88" t="s">
        <v>29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ht="27" x14ac:dyDescent="0.25">
      <c r="A59" s="5" t="s">
        <v>50</v>
      </c>
      <c r="B59" s="4">
        <v>2</v>
      </c>
      <c r="C59" s="9"/>
      <c r="D59" s="9"/>
    </row>
    <row r="60" spans="1:4" ht="27" x14ac:dyDescent="0.25">
      <c r="A60" s="1" t="s">
        <v>51</v>
      </c>
      <c r="B60" s="2">
        <v>10</v>
      </c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12</v>
      </c>
      <c r="C69" s="88" t="s">
        <v>29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ht="27" x14ac:dyDescent="0.25">
      <c r="A73" s="5" t="s">
        <v>51</v>
      </c>
      <c r="B73" s="4">
        <v>4</v>
      </c>
      <c r="C73" s="9"/>
      <c r="D73" s="9"/>
    </row>
    <row r="74" spans="1:4" ht="40.5" x14ac:dyDescent="0.25">
      <c r="A74" s="1" t="s">
        <v>40</v>
      </c>
      <c r="B74" s="2">
        <v>8</v>
      </c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12</v>
      </c>
      <c r="C83" s="88" t="s">
        <v>29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ht="40.5" x14ac:dyDescent="0.25">
      <c r="A87" s="5" t="s">
        <v>41</v>
      </c>
      <c r="B87" s="4">
        <v>8</v>
      </c>
      <c r="C87" s="9"/>
      <c r="D87" s="9"/>
    </row>
    <row r="88" spans="1:4" ht="40.5" x14ac:dyDescent="0.25">
      <c r="A88" s="1" t="s">
        <v>45</v>
      </c>
      <c r="B88" s="2">
        <v>4</v>
      </c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12</v>
      </c>
      <c r="C97" s="88" t="s">
        <v>29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ht="40.5" x14ac:dyDescent="0.25">
      <c r="A101" s="5" t="s">
        <v>52</v>
      </c>
      <c r="B101" s="4">
        <v>8</v>
      </c>
      <c r="C101" s="9"/>
      <c r="D101" s="9"/>
    </row>
    <row r="102" spans="1:4" x14ac:dyDescent="0.25">
      <c r="A102" s="1" t="s">
        <v>42</v>
      </c>
      <c r="B102" s="2">
        <v>4</v>
      </c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12</v>
      </c>
      <c r="C111" s="88" t="s">
        <v>29</v>
      </c>
      <c r="D111" s="13"/>
    </row>
    <row r="112" spans="1:4" ht="15" thickBot="1" x14ac:dyDescent="0.35">
      <c r="A112" s="14"/>
      <c r="B112" s="14"/>
      <c r="C112" s="14"/>
      <c r="D112" s="14"/>
    </row>
    <row r="113" spans="1:4" ht="18.75" thickBot="1" x14ac:dyDescent="0.3">
      <c r="A113" s="6" t="s">
        <v>14</v>
      </c>
      <c r="B113" s="7">
        <v>9</v>
      </c>
      <c r="C113" s="17"/>
      <c r="D113" s="87"/>
    </row>
    <row r="114" spans="1:4" ht="27.75" thickBot="1" x14ac:dyDescent="0.3">
      <c r="A114" s="8" t="s">
        <v>3</v>
      </c>
      <c r="B114" s="18" t="s">
        <v>15</v>
      </c>
      <c r="C114" s="8" t="s">
        <v>7</v>
      </c>
      <c r="D114" s="8" t="s">
        <v>13</v>
      </c>
    </row>
    <row r="115" spans="1:4" x14ac:dyDescent="0.25">
      <c r="A115" s="5" t="s">
        <v>42</v>
      </c>
      <c r="B115" s="4">
        <v>4</v>
      </c>
      <c r="C115" s="9"/>
      <c r="D115" s="9"/>
    </row>
    <row r="116" spans="1:4" ht="27" x14ac:dyDescent="0.25">
      <c r="A116" s="1" t="s">
        <v>44</v>
      </c>
      <c r="B116" s="2">
        <v>8</v>
      </c>
      <c r="C116" s="10"/>
      <c r="D116" s="10"/>
    </row>
    <row r="117" spans="1:4" x14ac:dyDescent="0.25">
      <c r="A117" s="1"/>
      <c r="B117" s="2"/>
      <c r="C117" s="10"/>
      <c r="D117" s="10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2"/>
      <c r="B121" s="2"/>
      <c r="C121" s="10"/>
      <c r="D121" s="10"/>
    </row>
    <row r="122" spans="1:4" x14ac:dyDescent="0.25">
      <c r="A122" s="2"/>
      <c r="B122" s="2"/>
      <c r="C122" s="10"/>
      <c r="D122" s="10"/>
    </row>
    <row r="123" spans="1:4" x14ac:dyDescent="0.25">
      <c r="A123" s="2"/>
      <c r="B123" s="2"/>
      <c r="C123" s="10"/>
      <c r="D123" s="10"/>
    </row>
    <row r="124" spans="1:4" ht="14.25" thickBot="1" x14ac:dyDescent="0.3">
      <c r="A124" s="3"/>
      <c r="B124" s="3"/>
      <c r="C124" s="11"/>
      <c r="D124" s="11"/>
    </row>
    <row r="125" spans="1:4" ht="14.25" thickBot="1" x14ac:dyDescent="0.3">
      <c r="A125" s="12" t="s">
        <v>22</v>
      </c>
      <c r="B125" s="12">
        <f>SUM(B115:B124)</f>
        <v>12</v>
      </c>
      <c r="C125" s="88" t="s">
        <v>29</v>
      </c>
      <c r="D125" s="13"/>
    </row>
    <row r="126" spans="1:4" ht="15" thickBot="1" x14ac:dyDescent="0.35">
      <c r="A126" s="14"/>
      <c r="B126" s="14"/>
      <c r="C126" s="14"/>
      <c r="D126" s="14"/>
    </row>
    <row r="127" spans="1:4" ht="18.75" thickBot="1" x14ac:dyDescent="0.3">
      <c r="A127" s="6" t="s">
        <v>14</v>
      </c>
      <c r="B127" s="7">
        <v>10</v>
      </c>
      <c r="C127" s="17"/>
      <c r="D127" s="87"/>
    </row>
    <row r="128" spans="1:4" ht="27.75" thickBot="1" x14ac:dyDescent="0.3">
      <c r="A128" s="8" t="s">
        <v>3</v>
      </c>
      <c r="B128" s="18" t="s">
        <v>15</v>
      </c>
      <c r="C128" s="8" t="s">
        <v>7</v>
      </c>
      <c r="D128" s="8" t="s">
        <v>13</v>
      </c>
    </row>
    <row r="129" spans="1:4" ht="40.5" x14ac:dyDescent="0.25">
      <c r="A129" s="5" t="s">
        <v>45</v>
      </c>
      <c r="B129" s="4">
        <v>6</v>
      </c>
      <c r="C129" s="9"/>
      <c r="D129" s="9"/>
    </row>
    <row r="130" spans="1:4" x14ac:dyDescent="0.25">
      <c r="A130" s="1" t="s">
        <v>35</v>
      </c>
      <c r="B130" s="2">
        <v>6</v>
      </c>
      <c r="C130" s="10"/>
      <c r="D130" s="10"/>
    </row>
    <row r="131" spans="1:4" x14ac:dyDescent="0.25">
      <c r="A131" s="1"/>
      <c r="B131" s="2"/>
      <c r="C131" s="10"/>
      <c r="D131" s="10"/>
    </row>
    <row r="132" spans="1:4" x14ac:dyDescent="0.25">
      <c r="A132" s="1"/>
      <c r="B132" s="2"/>
      <c r="C132" s="10"/>
      <c r="D132" s="10"/>
    </row>
    <row r="133" spans="1:4" x14ac:dyDescent="0.25">
      <c r="A133" s="1"/>
      <c r="B133" s="2"/>
      <c r="C133" s="10"/>
      <c r="D133" s="10"/>
    </row>
    <row r="134" spans="1:4" x14ac:dyDescent="0.25">
      <c r="A134" s="1"/>
      <c r="B134" s="2"/>
      <c r="C134" s="10"/>
      <c r="D134" s="10"/>
    </row>
    <row r="135" spans="1:4" x14ac:dyDescent="0.25">
      <c r="A135" s="2"/>
      <c r="B135" s="2"/>
      <c r="C135" s="10"/>
      <c r="D135" s="10"/>
    </row>
    <row r="136" spans="1:4" x14ac:dyDescent="0.25">
      <c r="A136" s="2"/>
      <c r="B136" s="2"/>
      <c r="C136" s="10"/>
      <c r="D136" s="10"/>
    </row>
    <row r="137" spans="1:4" x14ac:dyDescent="0.25">
      <c r="A137" s="2"/>
      <c r="B137" s="2"/>
      <c r="C137" s="10"/>
      <c r="D137" s="10"/>
    </row>
    <row r="138" spans="1:4" ht="14.25" thickBot="1" x14ac:dyDescent="0.3">
      <c r="A138" s="3"/>
      <c r="B138" s="3"/>
      <c r="C138" s="11"/>
      <c r="D138" s="11"/>
    </row>
    <row r="139" spans="1:4" ht="14.25" thickBot="1" x14ac:dyDescent="0.3">
      <c r="A139" s="12" t="s">
        <v>22</v>
      </c>
      <c r="B139" s="12">
        <f>SUM(B129:B138)</f>
        <v>12</v>
      </c>
      <c r="C139" s="88" t="s">
        <v>29</v>
      </c>
      <c r="D139" s="13"/>
    </row>
    <row r="140" spans="1:4" ht="15" thickBot="1" x14ac:dyDescent="0.35">
      <c r="A140" s="14"/>
      <c r="B140" s="14"/>
      <c r="C140" s="14"/>
      <c r="D140" s="14"/>
    </row>
    <row r="141" spans="1:4" ht="18.75" thickBot="1" x14ac:dyDescent="0.3">
      <c r="A141" s="6" t="s">
        <v>14</v>
      </c>
      <c r="B141" s="7">
        <v>11</v>
      </c>
      <c r="C141" s="17"/>
      <c r="D141" s="87"/>
    </row>
    <row r="142" spans="1:4" ht="27.75" thickBot="1" x14ac:dyDescent="0.3">
      <c r="A142" s="8" t="s">
        <v>3</v>
      </c>
      <c r="B142" s="18" t="s">
        <v>15</v>
      </c>
      <c r="C142" s="8" t="s">
        <v>7</v>
      </c>
      <c r="D142" s="8" t="s">
        <v>13</v>
      </c>
    </row>
    <row r="143" spans="1:4" x14ac:dyDescent="0.25">
      <c r="A143" s="5" t="s">
        <v>36</v>
      </c>
      <c r="B143" s="4">
        <v>6</v>
      </c>
      <c r="C143" s="9"/>
      <c r="D143" s="9"/>
    </row>
    <row r="144" spans="1:4" x14ac:dyDescent="0.25">
      <c r="A144" s="1" t="s">
        <v>37</v>
      </c>
      <c r="B144" s="2">
        <v>6</v>
      </c>
      <c r="C144" s="10"/>
      <c r="D144" s="10"/>
    </row>
    <row r="145" spans="1:4" x14ac:dyDescent="0.25">
      <c r="A145" s="1"/>
      <c r="B145" s="2"/>
      <c r="C145" s="10"/>
      <c r="D145" s="10"/>
    </row>
    <row r="146" spans="1:4" x14ac:dyDescent="0.25">
      <c r="A146" s="1"/>
      <c r="B146" s="2"/>
      <c r="C146" s="10"/>
      <c r="D146" s="10"/>
    </row>
    <row r="147" spans="1:4" x14ac:dyDescent="0.25">
      <c r="A147" s="1"/>
      <c r="B147" s="2"/>
      <c r="C147" s="10"/>
      <c r="D147" s="10"/>
    </row>
    <row r="148" spans="1:4" x14ac:dyDescent="0.25">
      <c r="A148" s="1"/>
      <c r="B148" s="2"/>
      <c r="C148" s="10"/>
      <c r="D148" s="10"/>
    </row>
    <row r="149" spans="1:4" x14ac:dyDescent="0.25">
      <c r="A149" s="2"/>
      <c r="B149" s="2"/>
      <c r="C149" s="10"/>
      <c r="D149" s="10"/>
    </row>
    <row r="150" spans="1:4" x14ac:dyDescent="0.25">
      <c r="A150" s="2"/>
      <c r="B150" s="2"/>
      <c r="C150" s="10"/>
      <c r="D150" s="10"/>
    </row>
    <row r="151" spans="1:4" x14ac:dyDescent="0.25">
      <c r="A151" s="2"/>
      <c r="B151" s="2"/>
      <c r="C151" s="10"/>
      <c r="D151" s="10"/>
    </row>
    <row r="152" spans="1:4" ht="14.25" thickBot="1" x14ac:dyDescent="0.3">
      <c r="A152" s="3"/>
      <c r="B152" s="3"/>
      <c r="C152" s="11"/>
      <c r="D152" s="11"/>
    </row>
    <row r="153" spans="1:4" ht="14.25" thickBot="1" x14ac:dyDescent="0.3">
      <c r="A153" s="12" t="s">
        <v>22</v>
      </c>
      <c r="B153" s="12">
        <f>SUM(B143:B152)</f>
        <v>12</v>
      </c>
      <c r="C153" s="88" t="s">
        <v>29</v>
      </c>
      <c r="D153" s="13"/>
    </row>
    <row r="154" spans="1:4" ht="15" thickBot="1" x14ac:dyDescent="0.35">
      <c r="A154" s="14"/>
      <c r="B154" s="14"/>
      <c r="C154" s="14"/>
      <c r="D154" s="14"/>
    </row>
    <row r="155" spans="1:4" ht="18.75" thickBot="1" x14ac:dyDescent="0.3">
      <c r="A155" s="6" t="s">
        <v>14</v>
      </c>
      <c r="B155" s="7">
        <v>12</v>
      </c>
      <c r="C155" s="17"/>
      <c r="D155" s="87"/>
    </row>
    <row r="156" spans="1:4" ht="27.75" thickBot="1" x14ac:dyDescent="0.3">
      <c r="A156" s="8" t="s">
        <v>3</v>
      </c>
      <c r="B156" s="18" t="s">
        <v>15</v>
      </c>
      <c r="C156" s="8" t="s">
        <v>7</v>
      </c>
      <c r="D156" s="8" t="s">
        <v>13</v>
      </c>
    </row>
    <row r="157" spans="1:4" x14ac:dyDescent="0.25">
      <c r="A157" s="5" t="s">
        <v>38</v>
      </c>
      <c r="B157" s="4">
        <v>5</v>
      </c>
      <c r="C157" s="9"/>
      <c r="D157" s="9"/>
    </row>
    <row r="158" spans="1:4" ht="27" x14ac:dyDescent="0.25">
      <c r="A158" s="1" t="s">
        <v>39</v>
      </c>
      <c r="B158" s="2">
        <v>7</v>
      </c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2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ht="14.25" thickBot="1" x14ac:dyDescent="0.3">
      <c r="A166" s="3"/>
      <c r="B166" s="3"/>
      <c r="C166" s="11"/>
      <c r="D166" s="11"/>
    </row>
    <row r="167" spans="1:4" ht="14.25" thickBot="1" x14ac:dyDescent="0.3">
      <c r="A167" s="12" t="s">
        <v>22</v>
      </c>
      <c r="B167" s="12">
        <f>SUM(B157:B166)</f>
        <v>12</v>
      </c>
      <c r="C167" s="88" t="s">
        <v>29</v>
      </c>
      <c r="D167" s="13"/>
    </row>
    <row r="168" spans="1:4" ht="15" thickBot="1" x14ac:dyDescent="0.35">
      <c r="A168" s="14"/>
      <c r="B168" s="14"/>
      <c r="C168" s="14"/>
      <c r="D168" s="14"/>
    </row>
    <row r="169" spans="1:4" ht="18.75" thickBot="1" x14ac:dyDescent="0.3">
      <c r="A169" s="6" t="s">
        <v>14</v>
      </c>
      <c r="B169" s="7">
        <v>13</v>
      </c>
      <c r="C169" s="17"/>
      <c r="D169" s="87"/>
    </row>
    <row r="170" spans="1:4" ht="27.75" thickBot="1" x14ac:dyDescent="0.3">
      <c r="A170" s="8" t="s">
        <v>3</v>
      </c>
      <c r="B170" s="18" t="s">
        <v>15</v>
      </c>
      <c r="C170" s="8" t="s">
        <v>7</v>
      </c>
      <c r="D170" s="8" t="s">
        <v>13</v>
      </c>
    </row>
    <row r="171" spans="1:4" ht="40.5" x14ac:dyDescent="0.25">
      <c r="A171" s="5" t="s">
        <v>45</v>
      </c>
      <c r="B171" s="4">
        <v>4</v>
      </c>
      <c r="C171" s="9"/>
      <c r="D171" s="9"/>
    </row>
    <row r="172" spans="1:4" ht="27" x14ac:dyDescent="0.25">
      <c r="A172" s="1" t="s">
        <v>53</v>
      </c>
      <c r="B172" s="2">
        <v>8</v>
      </c>
      <c r="C172" s="10"/>
      <c r="D172" s="10"/>
    </row>
    <row r="173" spans="1:4" x14ac:dyDescent="0.25">
      <c r="A173" s="1"/>
      <c r="B173" s="2"/>
      <c r="C173" s="10"/>
      <c r="D173" s="10"/>
    </row>
    <row r="174" spans="1:4" x14ac:dyDescent="0.25">
      <c r="A174" s="1"/>
      <c r="B174" s="2"/>
      <c r="C174" s="10"/>
      <c r="D174" s="10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2"/>
      <c r="B177" s="2"/>
      <c r="C177" s="10"/>
      <c r="D177" s="10"/>
    </row>
    <row r="178" spans="1:4" x14ac:dyDescent="0.25">
      <c r="A178" s="2"/>
      <c r="B178" s="2"/>
      <c r="C178" s="10"/>
      <c r="D178" s="10"/>
    </row>
    <row r="179" spans="1:4" x14ac:dyDescent="0.25">
      <c r="A179" s="2"/>
      <c r="B179" s="2"/>
      <c r="C179" s="10"/>
      <c r="D179" s="10"/>
    </row>
    <row r="180" spans="1:4" ht="14.25" thickBot="1" x14ac:dyDescent="0.3">
      <c r="A180" s="3"/>
      <c r="B180" s="3"/>
      <c r="C180" s="11"/>
      <c r="D180" s="11"/>
    </row>
    <row r="181" spans="1:4" ht="14.25" thickBot="1" x14ac:dyDescent="0.3">
      <c r="A181" s="12" t="s">
        <v>22</v>
      </c>
      <c r="B181" s="12">
        <f>SUM(B171:B180)</f>
        <v>12</v>
      </c>
      <c r="C181" s="88" t="s">
        <v>29</v>
      </c>
      <c r="D181" s="13"/>
    </row>
    <row r="182" spans="1:4" ht="15" thickBot="1" x14ac:dyDescent="0.35">
      <c r="A182" s="14"/>
      <c r="B182" s="14"/>
      <c r="C182" s="14"/>
      <c r="D182" s="14"/>
    </row>
    <row r="183" spans="1:4" ht="18.75" thickBot="1" x14ac:dyDescent="0.3">
      <c r="A183" s="6" t="s">
        <v>14</v>
      </c>
      <c r="B183" s="7">
        <v>14</v>
      </c>
      <c r="C183" s="17"/>
      <c r="D183" s="87"/>
    </row>
    <row r="184" spans="1:4" ht="27.75" thickBot="1" x14ac:dyDescent="0.3">
      <c r="A184" s="8" t="s">
        <v>3</v>
      </c>
      <c r="B184" s="18" t="s">
        <v>15</v>
      </c>
      <c r="C184" s="8" t="s">
        <v>7</v>
      </c>
      <c r="D184" s="8" t="s">
        <v>13</v>
      </c>
    </row>
    <row r="185" spans="1:4" ht="27" x14ac:dyDescent="0.25">
      <c r="A185" s="5" t="s">
        <v>53</v>
      </c>
      <c r="B185" s="4">
        <v>6</v>
      </c>
      <c r="C185" s="9"/>
      <c r="D185" s="9"/>
    </row>
    <row r="186" spans="1:4" ht="27" x14ac:dyDescent="0.25">
      <c r="A186" s="1" t="s">
        <v>39</v>
      </c>
      <c r="B186" s="2">
        <v>6</v>
      </c>
      <c r="C186" s="10"/>
      <c r="D186" s="10"/>
    </row>
    <row r="187" spans="1:4" x14ac:dyDescent="0.25">
      <c r="A187" s="1"/>
      <c r="B187" s="2"/>
      <c r="C187" s="10"/>
      <c r="D187" s="10"/>
    </row>
    <row r="188" spans="1:4" x14ac:dyDescent="0.25">
      <c r="A188" s="1"/>
      <c r="B188" s="2"/>
      <c r="C188" s="10"/>
      <c r="D188" s="10"/>
    </row>
    <row r="189" spans="1:4" x14ac:dyDescent="0.25">
      <c r="A189" s="1"/>
      <c r="B189" s="2"/>
      <c r="C189" s="10"/>
      <c r="D189" s="10"/>
    </row>
    <row r="190" spans="1:4" x14ac:dyDescent="0.25">
      <c r="A190" s="1"/>
      <c r="B190" s="2"/>
      <c r="C190" s="10"/>
      <c r="D190" s="10"/>
    </row>
    <row r="191" spans="1:4" x14ac:dyDescent="0.25">
      <c r="A191" s="2"/>
      <c r="B191" s="2"/>
      <c r="C191" s="10"/>
      <c r="D191" s="10"/>
    </row>
    <row r="192" spans="1:4" x14ac:dyDescent="0.25">
      <c r="A192" s="2"/>
      <c r="B192" s="2"/>
      <c r="C192" s="10"/>
      <c r="D192" s="10"/>
    </row>
    <row r="193" spans="1:4" x14ac:dyDescent="0.25">
      <c r="A193" s="2"/>
      <c r="B193" s="2"/>
      <c r="C193" s="10"/>
      <c r="D193" s="10"/>
    </row>
    <row r="194" spans="1:4" ht="14.25" thickBot="1" x14ac:dyDescent="0.3">
      <c r="A194" s="3"/>
      <c r="B194" s="3"/>
      <c r="C194" s="11"/>
      <c r="D194" s="11"/>
    </row>
    <row r="195" spans="1:4" ht="14.25" thickBot="1" x14ac:dyDescent="0.3">
      <c r="A195" s="12" t="s">
        <v>22</v>
      </c>
      <c r="B195" s="12">
        <f>SUM(B185:B194)</f>
        <v>12</v>
      </c>
      <c r="C195" s="88" t="s">
        <v>29</v>
      </c>
      <c r="D195" s="13"/>
    </row>
    <row r="196" spans="1:4" ht="15" thickBot="1" x14ac:dyDescent="0.35">
      <c r="A196" s="14"/>
      <c r="B196" s="14"/>
      <c r="C196" s="14"/>
      <c r="D196" s="14"/>
    </row>
    <row r="197" spans="1:4" ht="18.75" thickBot="1" x14ac:dyDescent="0.3">
      <c r="A197" s="6" t="s">
        <v>14</v>
      </c>
      <c r="B197" s="7">
        <v>15</v>
      </c>
      <c r="C197" s="17"/>
      <c r="D197" s="87"/>
    </row>
    <row r="198" spans="1:4" ht="27.75" thickBot="1" x14ac:dyDescent="0.3">
      <c r="A198" s="8" t="s">
        <v>3</v>
      </c>
      <c r="B198" s="18" t="s">
        <v>15</v>
      </c>
      <c r="C198" s="8" t="s">
        <v>7</v>
      </c>
      <c r="D198" s="8" t="s">
        <v>13</v>
      </c>
    </row>
    <row r="199" spans="1:4" ht="27" x14ac:dyDescent="0.25">
      <c r="A199" s="5" t="s">
        <v>44</v>
      </c>
      <c r="B199" s="4">
        <v>12</v>
      </c>
      <c r="C199" s="9"/>
      <c r="D199" s="9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1"/>
      <c r="B202" s="2"/>
      <c r="C202" s="10"/>
      <c r="D202" s="10"/>
    </row>
    <row r="203" spans="1:4" x14ac:dyDescent="0.25">
      <c r="A203" s="1"/>
      <c r="B203" s="2"/>
      <c r="C203" s="10"/>
      <c r="D203" s="10"/>
    </row>
    <row r="204" spans="1:4" x14ac:dyDescent="0.25">
      <c r="A204" s="1"/>
      <c r="B204" s="2"/>
      <c r="C204" s="10"/>
      <c r="D204" s="10"/>
    </row>
    <row r="205" spans="1:4" x14ac:dyDescent="0.25">
      <c r="A205" s="2"/>
      <c r="B205" s="2"/>
      <c r="C205" s="10"/>
      <c r="D205" s="10"/>
    </row>
    <row r="206" spans="1:4" x14ac:dyDescent="0.25">
      <c r="A206" s="2"/>
      <c r="B206" s="2"/>
      <c r="C206" s="10"/>
      <c r="D206" s="10"/>
    </row>
    <row r="207" spans="1:4" x14ac:dyDescent="0.25">
      <c r="A207" s="2"/>
      <c r="B207" s="2"/>
      <c r="C207" s="10"/>
      <c r="D207" s="10"/>
    </row>
    <row r="208" spans="1:4" ht="14.25" thickBot="1" x14ac:dyDescent="0.3">
      <c r="A208" s="3"/>
      <c r="B208" s="3"/>
      <c r="C208" s="11"/>
      <c r="D208" s="11"/>
    </row>
    <row r="209" spans="1:4" ht="14.25" thickBot="1" x14ac:dyDescent="0.3">
      <c r="A209" s="12" t="s">
        <v>22</v>
      </c>
      <c r="B209" s="12">
        <f>SUM(B199:B208)</f>
        <v>12</v>
      </c>
      <c r="C209" s="88" t="s">
        <v>29</v>
      </c>
      <c r="D209" s="13"/>
    </row>
    <row r="210" spans="1:4" ht="15" thickBot="1" x14ac:dyDescent="0.35">
      <c r="A210" s="14"/>
      <c r="B210" s="14"/>
      <c r="C210" s="14"/>
      <c r="D210" s="14"/>
    </row>
    <row r="211" spans="1:4" ht="18.75" thickBot="1" x14ac:dyDescent="0.3">
      <c r="A211" s="6" t="s">
        <v>14</v>
      </c>
      <c r="B211" s="7">
        <v>16</v>
      </c>
      <c r="C211" s="17"/>
      <c r="D211" s="87"/>
    </row>
    <row r="212" spans="1:4" ht="27.75" thickBot="1" x14ac:dyDescent="0.3">
      <c r="A212" s="8" t="s">
        <v>3</v>
      </c>
      <c r="B212" s="18" t="s">
        <v>15</v>
      </c>
      <c r="C212" s="8" t="s">
        <v>7</v>
      </c>
      <c r="D212" s="8" t="s">
        <v>13</v>
      </c>
    </row>
    <row r="213" spans="1:4" ht="40.5" x14ac:dyDescent="0.25">
      <c r="A213" s="5" t="s">
        <v>45</v>
      </c>
      <c r="B213" s="4">
        <v>6</v>
      </c>
      <c r="C213" s="9"/>
      <c r="D213" s="9"/>
    </row>
    <row r="214" spans="1:4" ht="40.5" x14ac:dyDescent="0.25">
      <c r="A214" s="1" t="s">
        <v>45</v>
      </c>
      <c r="B214" s="2">
        <v>6</v>
      </c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2"/>
      <c r="B219" s="2"/>
      <c r="C219" s="10"/>
      <c r="D219" s="10"/>
    </row>
    <row r="220" spans="1:4" x14ac:dyDescent="0.25">
      <c r="A220" s="2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ht="14.25" thickBot="1" x14ac:dyDescent="0.3">
      <c r="A222" s="3"/>
      <c r="B222" s="3"/>
      <c r="C222" s="11"/>
      <c r="D222" s="11"/>
    </row>
    <row r="223" spans="1:4" ht="14.25" thickBot="1" x14ac:dyDescent="0.3">
      <c r="A223" s="12" t="s">
        <v>22</v>
      </c>
      <c r="B223" s="12">
        <f>SUM(B213:B222)</f>
        <v>12</v>
      </c>
      <c r="C223" s="88" t="s">
        <v>29</v>
      </c>
      <c r="D223" s="13"/>
    </row>
    <row r="224" spans="1:4" ht="14.25" x14ac:dyDescent="0.3">
      <c r="A224" s="14"/>
      <c r="B224" s="14"/>
      <c r="C224" s="14"/>
      <c r="D224" s="14"/>
    </row>
    <row r="225" spans="1:1" x14ac:dyDescent="0.25">
      <c r="A225" s="89" t="s">
        <v>30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305"/>
  <sheetViews>
    <sheetView workbookViewId="0">
      <selection activeCell="C8" sqref="C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43342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ht="40.5" x14ac:dyDescent="0.25">
      <c r="A3" s="5" t="s">
        <v>31</v>
      </c>
      <c r="B3" s="4">
        <v>9</v>
      </c>
      <c r="C3" s="91" t="s">
        <v>54</v>
      </c>
      <c r="D3" s="9"/>
    </row>
    <row r="4" spans="1:4" s="53" customFormat="1" ht="27" x14ac:dyDescent="0.25">
      <c r="A4" s="1" t="s">
        <v>46</v>
      </c>
      <c r="B4" s="2">
        <v>3</v>
      </c>
      <c r="C4" s="92" t="s">
        <v>55</v>
      </c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90" t="s">
        <v>29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43349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/>
      <c r="B22" s="4"/>
      <c r="C22" s="9"/>
      <c r="D22" s="9"/>
    </row>
    <row r="23" spans="1:9" x14ac:dyDescent="0.25">
      <c r="A23" s="1"/>
      <c r="B23" s="2"/>
      <c r="C23" s="10"/>
      <c r="D23" s="10"/>
    </row>
    <row r="24" spans="1:9" x14ac:dyDescent="0.25">
      <c r="A24" s="1"/>
      <c r="B24" s="2"/>
      <c r="C24" s="10"/>
      <c r="D24" s="10"/>
      <c r="E24" s="20"/>
      <c r="F24" s="20"/>
      <c r="G24" s="20"/>
      <c r="H24" s="20"/>
      <c r="I24" s="20"/>
    </row>
    <row r="25" spans="1:9" ht="12.75" customHeight="1" x14ac:dyDescent="0.25">
      <c r="A25" s="1"/>
      <c r="B25" s="2"/>
      <c r="C25" s="10"/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0</v>
      </c>
      <c r="C37" s="90" t="s">
        <v>29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43356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/>
      <c r="B41" s="4"/>
      <c r="C41" s="9"/>
      <c r="D41" s="9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0</v>
      </c>
      <c r="C56" s="90" t="s">
        <v>29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43363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0</v>
      </c>
      <c r="C75" s="90" t="s">
        <v>29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43370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0</v>
      </c>
      <c r="C94" s="90" t="s">
        <v>29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43377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0</v>
      </c>
      <c r="C113" s="90" t="s">
        <v>29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43384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0</v>
      </c>
      <c r="C132" s="90" t="s">
        <v>29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43391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90" t="s">
        <v>29</v>
      </c>
      <c r="D151" s="49"/>
    </row>
    <row r="152" spans="1:4" ht="15" thickBot="1" x14ac:dyDescent="0.35">
      <c r="A152" s="50"/>
      <c r="B152" s="50"/>
      <c r="C152" s="50"/>
      <c r="D152" s="50"/>
    </row>
    <row r="153" spans="1:4" ht="18.75" thickBot="1" x14ac:dyDescent="0.3">
      <c r="A153" s="43" t="s">
        <v>14</v>
      </c>
      <c r="B153" s="44">
        <v>9</v>
      </c>
      <c r="C153" s="45" t="s">
        <v>23</v>
      </c>
      <c r="D153" s="54">
        <f>$D$134+7</f>
        <v>43398</v>
      </c>
    </row>
    <row r="154" spans="1:4" ht="27.75" thickBot="1" x14ac:dyDescent="0.3">
      <c r="A154" s="46" t="s">
        <v>3</v>
      </c>
      <c r="B154" s="47" t="s">
        <v>15</v>
      </c>
      <c r="C154" s="46" t="s">
        <v>7</v>
      </c>
      <c r="D154" s="46" t="s">
        <v>13</v>
      </c>
    </row>
    <row r="155" spans="1:4" x14ac:dyDescent="0.25">
      <c r="A155" s="5"/>
      <c r="B155" s="4"/>
      <c r="C155" s="9"/>
      <c r="D155" s="9"/>
    </row>
    <row r="156" spans="1:4" x14ac:dyDescent="0.25">
      <c r="A156" s="1"/>
      <c r="B156" s="2"/>
      <c r="C156" s="10"/>
      <c r="D156" s="10"/>
    </row>
    <row r="157" spans="1:4" x14ac:dyDescent="0.25">
      <c r="A157" s="1"/>
      <c r="B157" s="2"/>
      <c r="C157" s="10"/>
      <c r="D157" s="10"/>
    </row>
    <row r="158" spans="1:4" x14ac:dyDescent="0.25">
      <c r="A158" s="1"/>
      <c r="B158" s="2"/>
      <c r="C158" s="10"/>
      <c r="D158" s="10"/>
    </row>
    <row r="159" spans="1:4" x14ac:dyDescent="0.25">
      <c r="A159" s="1"/>
      <c r="B159" s="2"/>
      <c r="C159" s="10"/>
      <c r="D159" s="10"/>
    </row>
    <row r="160" spans="1:4" x14ac:dyDescent="0.25">
      <c r="A160" s="1"/>
      <c r="B160" s="2"/>
      <c r="C160" s="10"/>
      <c r="D160" s="10"/>
    </row>
    <row r="161" spans="1:4" x14ac:dyDescent="0.25">
      <c r="A161" s="1"/>
      <c r="B161" s="2"/>
      <c r="C161" s="10"/>
      <c r="D161" s="10"/>
    </row>
    <row r="162" spans="1:4" x14ac:dyDescent="0.25">
      <c r="A162" s="1"/>
      <c r="B162" s="2"/>
      <c r="C162" s="10"/>
      <c r="D162" s="10"/>
    </row>
    <row r="163" spans="1:4" x14ac:dyDescent="0.25">
      <c r="A163" s="1"/>
      <c r="B163" s="2"/>
      <c r="C163" s="10"/>
      <c r="D163" s="10"/>
    </row>
    <row r="164" spans="1:4" x14ac:dyDescent="0.25">
      <c r="A164" s="2"/>
      <c r="B164" s="2"/>
      <c r="C164" s="10"/>
      <c r="D164" s="10"/>
    </row>
    <row r="165" spans="1:4" x14ac:dyDescent="0.25">
      <c r="A165" s="2"/>
      <c r="B165" s="2"/>
      <c r="C165" s="10"/>
      <c r="D165" s="10"/>
    </row>
    <row r="166" spans="1:4" x14ac:dyDescent="0.25">
      <c r="A166" s="2"/>
      <c r="B166" s="2"/>
      <c r="C166" s="10"/>
      <c r="D166" s="10"/>
    </row>
    <row r="167" spans="1:4" x14ac:dyDescent="0.25">
      <c r="A167" s="51"/>
      <c r="B167" s="51"/>
      <c r="C167" s="52"/>
      <c r="D167" s="52"/>
    </row>
    <row r="168" spans="1:4" x14ac:dyDescent="0.25">
      <c r="A168" s="51"/>
      <c r="B168" s="51"/>
      <c r="C168" s="52"/>
      <c r="D168" s="52"/>
    </row>
    <row r="169" spans="1:4" ht="14.25" thickBot="1" x14ac:dyDescent="0.3">
      <c r="A169" s="3"/>
      <c r="B169" s="3"/>
      <c r="C169" s="11"/>
      <c r="D169" s="11"/>
    </row>
    <row r="170" spans="1:4" ht="14.25" thickBot="1" x14ac:dyDescent="0.3">
      <c r="A170" s="48" t="s">
        <v>22</v>
      </c>
      <c r="B170" s="48">
        <f>SUM(B155:B169)</f>
        <v>0</v>
      </c>
      <c r="C170" s="90" t="s">
        <v>29</v>
      </c>
      <c r="D170" s="49"/>
    </row>
    <row r="171" spans="1:4" ht="15" thickBot="1" x14ac:dyDescent="0.35">
      <c r="A171" s="50"/>
      <c r="B171" s="50"/>
      <c r="C171" s="50"/>
      <c r="D171" s="50"/>
    </row>
    <row r="172" spans="1:4" ht="18.75" thickBot="1" x14ac:dyDescent="0.3">
      <c r="A172" s="43" t="s">
        <v>14</v>
      </c>
      <c r="B172" s="44">
        <v>10</v>
      </c>
      <c r="C172" s="45" t="s">
        <v>23</v>
      </c>
      <c r="D172" s="54">
        <f>$D$153+7</f>
        <v>43405</v>
      </c>
    </row>
    <row r="173" spans="1:4" ht="27.75" thickBot="1" x14ac:dyDescent="0.3">
      <c r="A173" s="46" t="s">
        <v>3</v>
      </c>
      <c r="B173" s="47" t="s">
        <v>15</v>
      </c>
      <c r="C173" s="46" t="s">
        <v>7</v>
      </c>
      <c r="D173" s="46" t="s">
        <v>13</v>
      </c>
    </row>
    <row r="174" spans="1:4" x14ac:dyDescent="0.25">
      <c r="A174" s="5"/>
      <c r="B174" s="4"/>
      <c r="C174" s="9"/>
      <c r="D174" s="9"/>
    </row>
    <row r="175" spans="1:4" x14ac:dyDescent="0.25">
      <c r="A175" s="1"/>
      <c r="B175" s="2"/>
      <c r="C175" s="10"/>
      <c r="D175" s="10"/>
    </row>
    <row r="176" spans="1:4" x14ac:dyDescent="0.25">
      <c r="A176" s="1"/>
      <c r="B176" s="2"/>
      <c r="C176" s="10"/>
      <c r="D176" s="10"/>
    </row>
    <row r="177" spans="1:4" x14ac:dyDescent="0.25">
      <c r="A177" s="1"/>
      <c r="B177" s="2"/>
      <c r="C177" s="10"/>
      <c r="D177" s="10"/>
    </row>
    <row r="178" spans="1:4" x14ac:dyDescent="0.25">
      <c r="A178" s="1"/>
      <c r="B178" s="2"/>
      <c r="C178" s="10"/>
      <c r="D178" s="10"/>
    </row>
    <row r="179" spans="1:4" x14ac:dyDescent="0.25">
      <c r="A179" s="1"/>
      <c r="B179" s="2"/>
      <c r="C179" s="10"/>
      <c r="D179" s="10"/>
    </row>
    <row r="180" spans="1:4" x14ac:dyDescent="0.25">
      <c r="A180" s="1"/>
      <c r="B180" s="2"/>
      <c r="C180" s="10"/>
      <c r="D180" s="10"/>
    </row>
    <row r="181" spans="1:4" x14ac:dyDescent="0.25">
      <c r="A181" s="1"/>
      <c r="B181" s="2"/>
      <c r="C181" s="10"/>
      <c r="D181" s="10"/>
    </row>
    <row r="182" spans="1:4" x14ac:dyDescent="0.25">
      <c r="A182" s="1"/>
      <c r="B182" s="2"/>
      <c r="C182" s="10"/>
      <c r="D182" s="10"/>
    </row>
    <row r="183" spans="1:4" x14ac:dyDescent="0.25">
      <c r="A183" s="2"/>
      <c r="B183" s="2"/>
      <c r="C183" s="10"/>
      <c r="D183" s="10"/>
    </row>
    <row r="184" spans="1:4" x14ac:dyDescent="0.25">
      <c r="A184" s="2"/>
      <c r="B184" s="2"/>
      <c r="C184" s="10"/>
      <c r="D184" s="10"/>
    </row>
    <row r="185" spans="1:4" x14ac:dyDescent="0.25">
      <c r="A185" s="2"/>
      <c r="B185" s="2"/>
      <c r="C185" s="10"/>
      <c r="D185" s="10"/>
    </row>
    <row r="186" spans="1:4" x14ac:dyDescent="0.25">
      <c r="A186" s="51"/>
      <c r="B186" s="51"/>
      <c r="C186" s="52"/>
      <c r="D186" s="52"/>
    </row>
    <row r="187" spans="1:4" x14ac:dyDescent="0.25">
      <c r="A187" s="51"/>
      <c r="B187" s="51"/>
      <c r="C187" s="52"/>
      <c r="D187" s="52"/>
    </row>
    <row r="188" spans="1:4" ht="14.25" thickBot="1" x14ac:dyDescent="0.3">
      <c r="A188" s="3"/>
      <c r="B188" s="3"/>
      <c r="C188" s="11"/>
      <c r="D188" s="11"/>
    </row>
    <row r="189" spans="1:4" ht="14.25" thickBot="1" x14ac:dyDescent="0.3">
      <c r="A189" s="48" t="s">
        <v>22</v>
      </c>
      <c r="B189" s="48">
        <f>SUM(B174:B188)</f>
        <v>0</v>
      </c>
      <c r="C189" s="90" t="s">
        <v>29</v>
      </c>
      <c r="D189" s="49"/>
    </row>
    <row r="190" spans="1:4" ht="15" thickBot="1" x14ac:dyDescent="0.35">
      <c r="A190" s="50"/>
      <c r="B190" s="50"/>
      <c r="C190" s="50"/>
      <c r="D190" s="50"/>
    </row>
    <row r="191" spans="1:4" ht="18.75" thickBot="1" x14ac:dyDescent="0.3">
      <c r="A191" s="43" t="s">
        <v>14</v>
      </c>
      <c r="B191" s="44">
        <v>11</v>
      </c>
      <c r="C191" s="45" t="s">
        <v>23</v>
      </c>
      <c r="D191" s="54">
        <f>$D$172+7</f>
        <v>43412</v>
      </c>
    </row>
    <row r="192" spans="1:4" ht="27.75" thickBot="1" x14ac:dyDescent="0.3">
      <c r="A192" s="46" t="s">
        <v>3</v>
      </c>
      <c r="B192" s="47" t="s">
        <v>15</v>
      </c>
      <c r="C192" s="46" t="s">
        <v>7</v>
      </c>
      <c r="D192" s="46" t="s">
        <v>13</v>
      </c>
    </row>
    <row r="193" spans="1:4" x14ac:dyDescent="0.25">
      <c r="A193" s="5"/>
      <c r="B193" s="4"/>
      <c r="C193" s="9"/>
      <c r="D193" s="9"/>
    </row>
    <row r="194" spans="1:4" x14ac:dyDescent="0.25">
      <c r="A194" s="1"/>
      <c r="B194" s="2"/>
      <c r="C194" s="10"/>
      <c r="D194" s="10"/>
    </row>
    <row r="195" spans="1:4" x14ac:dyDescent="0.25">
      <c r="A195" s="1"/>
      <c r="B195" s="2"/>
      <c r="C195" s="10"/>
      <c r="D195" s="10"/>
    </row>
    <row r="196" spans="1:4" x14ac:dyDescent="0.25">
      <c r="A196" s="1"/>
      <c r="B196" s="2"/>
      <c r="C196" s="10"/>
      <c r="D196" s="10"/>
    </row>
    <row r="197" spans="1:4" x14ac:dyDescent="0.25">
      <c r="A197" s="1"/>
      <c r="B197" s="2"/>
      <c r="C197" s="10"/>
      <c r="D197" s="10"/>
    </row>
    <row r="198" spans="1:4" x14ac:dyDescent="0.25">
      <c r="A198" s="1"/>
      <c r="B198" s="2"/>
      <c r="C198" s="10"/>
      <c r="D198" s="10"/>
    </row>
    <row r="199" spans="1:4" x14ac:dyDescent="0.25">
      <c r="A199" s="1"/>
      <c r="B199" s="2"/>
      <c r="C199" s="10"/>
      <c r="D199" s="10"/>
    </row>
    <row r="200" spans="1:4" x14ac:dyDescent="0.25">
      <c r="A200" s="1"/>
      <c r="B200" s="2"/>
      <c r="C200" s="10"/>
      <c r="D200" s="10"/>
    </row>
    <row r="201" spans="1:4" x14ac:dyDescent="0.25">
      <c r="A201" s="1"/>
      <c r="B201" s="2"/>
      <c r="C201" s="10"/>
      <c r="D201" s="10"/>
    </row>
    <row r="202" spans="1:4" x14ac:dyDescent="0.25">
      <c r="A202" s="2"/>
      <c r="B202" s="2"/>
      <c r="C202" s="10"/>
      <c r="D202" s="10"/>
    </row>
    <row r="203" spans="1:4" x14ac:dyDescent="0.25">
      <c r="A203" s="2"/>
      <c r="B203" s="2"/>
      <c r="C203" s="10"/>
      <c r="D203" s="10"/>
    </row>
    <row r="204" spans="1:4" x14ac:dyDescent="0.25">
      <c r="A204" s="2"/>
      <c r="B204" s="2"/>
      <c r="C204" s="10"/>
      <c r="D204" s="10"/>
    </row>
    <row r="205" spans="1:4" x14ac:dyDescent="0.25">
      <c r="A205" s="51"/>
      <c r="B205" s="51"/>
      <c r="C205" s="52"/>
      <c r="D205" s="52"/>
    </row>
    <row r="206" spans="1:4" x14ac:dyDescent="0.25">
      <c r="A206" s="51"/>
      <c r="B206" s="51"/>
      <c r="C206" s="52"/>
      <c r="D206" s="52"/>
    </row>
    <row r="207" spans="1:4" ht="14.25" thickBot="1" x14ac:dyDescent="0.3">
      <c r="A207" s="3"/>
      <c r="B207" s="3"/>
      <c r="C207" s="11"/>
      <c r="D207" s="11"/>
    </row>
    <row r="208" spans="1:4" ht="14.25" thickBot="1" x14ac:dyDescent="0.3">
      <c r="A208" s="48" t="s">
        <v>22</v>
      </c>
      <c r="B208" s="48">
        <f>SUM(B193:B207)</f>
        <v>0</v>
      </c>
      <c r="C208" s="90" t="s">
        <v>29</v>
      </c>
      <c r="D208" s="49"/>
    </row>
    <row r="209" spans="1:4" ht="15" thickBot="1" x14ac:dyDescent="0.35">
      <c r="A209" s="50"/>
      <c r="B209" s="50"/>
      <c r="C209" s="50"/>
      <c r="D209" s="50"/>
    </row>
    <row r="210" spans="1:4" ht="18.75" thickBot="1" x14ac:dyDescent="0.3">
      <c r="A210" s="43" t="s">
        <v>14</v>
      </c>
      <c r="B210" s="44">
        <v>12</v>
      </c>
      <c r="C210" s="45" t="s">
        <v>23</v>
      </c>
      <c r="D210" s="54">
        <f>$D$191+7</f>
        <v>43419</v>
      </c>
    </row>
    <row r="211" spans="1:4" ht="27.75" thickBot="1" x14ac:dyDescent="0.3">
      <c r="A211" s="46" t="s">
        <v>3</v>
      </c>
      <c r="B211" s="47" t="s">
        <v>15</v>
      </c>
      <c r="C211" s="46" t="s">
        <v>7</v>
      </c>
      <c r="D211" s="46" t="s">
        <v>13</v>
      </c>
    </row>
    <row r="212" spans="1:4" x14ac:dyDescent="0.25">
      <c r="A212" s="5"/>
      <c r="B212" s="4"/>
      <c r="C212" s="9"/>
      <c r="D212" s="9"/>
    </row>
    <row r="213" spans="1:4" x14ac:dyDescent="0.25">
      <c r="A213" s="1"/>
      <c r="B213" s="2"/>
      <c r="C213" s="10"/>
      <c r="D213" s="10"/>
    </row>
    <row r="214" spans="1:4" x14ac:dyDescent="0.25">
      <c r="A214" s="1"/>
      <c r="B214" s="2"/>
      <c r="C214" s="10"/>
      <c r="D214" s="10"/>
    </row>
    <row r="215" spans="1:4" x14ac:dyDescent="0.25">
      <c r="A215" s="1"/>
      <c r="B215" s="2"/>
      <c r="C215" s="10"/>
      <c r="D215" s="10"/>
    </row>
    <row r="216" spans="1:4" x14ac:dyDescent="0.25">
      <c r="A216" s="1"/>
      <c r="B216" s="2"/>
      <c r="C216" s="10"/>
      <c r="D216" s="10"/>
    </row>
    <row r="217" spans="1:4" x14ac:dyDescent="0.25">
      <c r="A217" s="1"/>
      <c r="B217" s="2"/>
      <c r="C217" s="10"/>
      <c r="D217" s="10"/>
    </row>
    <row r="218" spans="1:4" x14ac:dyDescent="0.25">
      <c r="A218" s="1"/>
      <c r="B218" s="2"/>
      <c r="C218" s="10"/>
      <c r="D218" s="10"/>
    </row>
    <row r="219" spans="1:4" x14ac:dyDescent="0.25">
      <c r="A219" s="1"/>
      <c r="B219" s="2"/>
      <c r="C219" s="10"/>
      <c r="D219" s="10"/>
    </row>
    <row r="220" spans="1:4" x14ac:dyDescent="0.25">
      <c r="A220" s="1"/>
      <c r="B220" s="2"/>
      <c r="C220" s="10"/>
      <c r="D220" s="10"/>
    </row>
    <row r="221" spans="1:4" x14ac:dyDescent="0.25">
      <c r="A221" s="2"/>
      <c r="B221" s="2"/>
      <c r="C221" s="10"/>
      <c r="D221" s="10"/>
    </row>
    <row r="222" spans="1:4" x14ac:dyDescent="0.25">
      <c r="A222" s="2"/>
      <c r="B222" s="2"/>
      <c r="C222" s="10"/>
      <c r="D222" s="10"/>
    </row>
    <row r="223" spans="1:4" x14ac:dyDescent="0.25">
      <c r="A223" s="2"/>
      <c r="B223" s="2"/>
      <c r="C223" s="10"/>
      <c r="D223" s="10"/>
    </row>
    <row r="224" spans="1:4" x14ac:dyDescent="0.25">
      <c r="A224" s="51"/>
      <c r="B224" s="51"/>
      <c r="C224" s="52"/>
      <c r="D224" s="52"/>
    </row>
    <row r="225" spans="1:4" x14ac:dyDescent="0.25">
      <c r="A225" s="51"/>
      <c r="B225" s="51"/>
      <c r="C225" s="52"/>
      <c r="D225" s="52"/>
    </row>
    <row r="226" spans="1:4" ht="14.25" thickBot="1" x14ac:dyDescent="0.3">
      <c r="A226" s="3"/>
      <c r="B226" s="3"/>
      <c r="C226" s="11"/>
      <c r="D226" s="11"/>
    </row>
    <row r="227" spans="1:4" ht="14.25" thickBot="1" x14ac:dyDescent="0.3">
      <c r="A227" s="48" t="s">
        <v>22</v>
      </c>
      <c r="B227" s="48">
        <f>SUM(B212:B226)</f>
        <v>0</v>
      </c>
      <c r="C227" s="90" t="s">
        <v>29</v>
      </c>
      <c r="D227" s="49"/>
    </row>
    <row r="228" spans="1:4" ht="15" thickBot="1" x14ac:dyDescent="0.35">
      <c r="A228" s="50"/>
      <c r="B228" s="50"/>
      <c r="C228" s="50"/>
      <c r="D228" s="50"/>
    </row>
    <row r="229" spans="1:4" ht="18.75" thickBot="1" x14ac:dyDescent="0.3">
      <c r="A229" s="43" t="s">
        <v>14</v>
      </c>
      <c r="B229" s="44">
        <v>13</v>
      </c>
      <c r="C229" s="45" t="s">
        <v>23</v>
      </c>
      <c r="D229" s="54">
        <f>$D$210+7</f>
        <v>43426</v>
      </c>
    </row>
    <row r="230" spans="1:4" ht="27.75" thickBot="1" x14ac:dyDescent="0.3">
      <c r="A230" s="46" t="s">
        <v>3</v>
      </c>
      <c r="B230" s="47" t="s">
        <v>15</v>
      </c>
      <c r="C230" s="46" t="s">
        <v>7</v>
      </c>
      <c r="D230" s="46" t="s">
        <v>13</v>
      </c>
    </row>
    <row r="231" spans="1:4" x14ac:dyDescent="0.25">
      <c r="A231" s="5"/>
      <c r="B231" s="4"/>
      <c r="C231" s="9"/>
      <c r="D231" s="9"/>
    </row>
    <row r="232" spans="1:4" x14ac:dyDescent="0.25">
      <c r="A232" s="1"/>
      <c r="B232" s="2"/>
      <c r="C232" s="10"/>
      <c r="D232" s="10"/>
    </row>
    <row r="233" spans="1:4" x14ac:dyDescent="0.25">
      <c r="A233" s="1"/>
      <c r="B233" s="2"/>
      <c r="C233" s="10"/>
      <c r="D233" s="10"/>
    </row>
    <row r="234" spans="1:4" x14ac:dyDescent="0.25">
      <c r="A234" s="1"/>
      <c r="B234" s="2"/>
      <c r="C234" s="10"/>
      <c r="D234" s="10"/>
    </row>
    <row r="235" spans="1:4" x14ac:dyDescent="0.25">
      <c r="A235" s="1"/>
      <c r="B235" s="2"/>
      <c r="C235" s="10"/>
      <c r="D235" s="10"/>
    </row>
    <row r="236" spans="1:4" x14ac:dyDescent="0.25">
      <c r="A236" s="1"/>
      <c r="B236" s="2"/>
      <c r="C236" s="10"/>
      <c r="D236" s="10"/>
    </row>
    <row r="237" spans="1:4" x14ac:dyDescent="0.25">
      <c r="A237" s="1"/>
      <c r="B237" s="2"/>
      <c r="C237" s="10"/>
      <c r="D237" s="10"/>
    </row>
    <row r="238" spans="1:4" x14ac:dyDescent="0.25">
      <c r="A238" s="1"/>
      <c r="B238" s="2"/>
      <c r="C238" s="10"/>
      <c r="D238" s="10"/>
    </row>
    <row r="239" spans="1:4" x14ac:dyDescent="0.25">
      <c r="A239" s="1"/>
      <c r="B239" s="2"/>
      <c r="C239" s="10"/>
      <c r="D239" s="10"/>
    </row>
    <row r="240" spans="1:4" x14ac:dyDescent="0.25">
      <c r="A240" s="2"/>
      <c r="B240" s="2"/>
      <c r="C240" s="10"/>
      <c r="D240" s="10"/>
    </row>
    <row r="241" spans="1:4" x14ac:dyDescent="0.25">
      <c r="A241" s="2"/>
      <c r="B241" s="2"/>
      <c r="C241" s="10"/>
      <c r="D241" s="10"/>
    </row>
    <row r="242" spans="1:4" x14ac:dyDescent="0.25">
      <c r="A242" s="2"/>
      <c r="B242" s="2"/>
      <c r="C242" s="10"/>
      <c r="D242" s="10"/>
    </row>
    <row r="243" spans="1:4" x14ac:dyDescent="0.25">
      <c r="A243" s="51"/>
      <c r="B243" s="51"/>
      <c r="C243" s="52"/>
      <c r="D243" s="52"/>
    </row>
    <row r="244" spans="1:4" x14ac:dyDescent="0.25">
      <c r="A244" s="51"/>
      <c r="B244" s="51"/>
      <c r="C244" s="52"/>
      <c r="D244" s="52"/>
    </row>
    <row r="245" spans="1:4" ht="14.25" thickBot="1" x14ac:dyDescent="0.3">
      <c r="A245" s="3"/>
      <c r="B245" s="3"/>
      <c r="C245" s="11"/>
      <c r="D245" s="11"/>
    </row>
    <row r="246" spans="1:4" ht="14.25" thickBot="1" x14ac:dyDescent="0.3">
      <c r="A246" s="48" t="s">
        <v>22</v>
      </c>
      <c r="B246" s="48">
        <f>SUM(B231:B245)</f>
        <v>0</v>
      </c>
      <c r="C246" s="90" t="s">
        <v>29</v>
      </c>
      <c r="D246" s="49"/>
    </row>
    <row r="247" spans="1:4" ht="15" thickBot="1" x14ac:dyDescent="0.35">
      <c r="A247" s="50"/>
      <c r="B247" s="50"/>
      <c r="C247" s="50"/>
      <c r="D247" s="50"/>
    </row>
    <row r="248" spans="1:4" ht="18.75" thickBot="1" x14ac:dyDescent="0.3">
      <c r="A248" s="43" t="s">
        <v>14</v>
      </c>
      <c r="B248" s="44">
        <v>14</v>
      </c>
      <c r="C248" s="45" t="s">
        <v>23</v>
      </c>
      <c r="D248" s="54">
        <f>$D$229+7</f>
        <v>43433</v>
      </c>
    </row>
    <row r="249" spans="1:4" ht="27.75" thickBot="1" x14ac:dyDescent="0.3">
      <c r="A249" s="46" t="s">
        <v>3</v>
      </c>
      <c r="B249" s="47" t="s">
        <v>15</v>
      </c>
      <c r="C249" s="46" t="s">
        <v>7</v>
      </c>
      <c r="D249" s="46" t="s">
        <v>13</v>
      </c>
    </row>
    <row r="250" spans="1:4" x14ac:dyDescent="0.25">
      <c r="A250" s="5"/>
      <c r="B250" s="4"/>
      <c r="C250" s="9"/>
      <c r="D250" s="9"/>
    </row>
    <row r="251" spans="1:4" x14ac:dyDescent="0.25">
      <c r="A251" s="1"/>
      <c r="B251" s="2"/>
      <c r="C251" s="10"/>
      <c r="D251" s="10"/>
    </row>
    <row r="252" spans="1:4" x14ac:dyDescent="0.25">
      <c r="A252" s="1"/>
      <c r="B252" s="2"/>
      <c r="C252" s="10"/>
      <c r="D252" s="10"/>
    </row>
    <row r="253" spans="1:4" x14ac:dyDescent="0.25">
      <c r="A253" s="1"/>
      <c r="B253" s="2"/>
      <c r="C253" s="10"/>
      <c r="D253" s="10"/>
    </row>
    <row r="254" spans="1:4" x14ac:dyDescent="0.25">
      <c r="A254" s="1"/>
      <c r="B254" s="2"/>
      <c r="C254" s="10"/>
      <c r="D254" s="10"/>
    </row>
    <row r="255" spans="1:4" x14ac:dyDescent="0.25">
      <c r="A255" s="1"/>
      <c r="B255" s="2"/>
      <c r="C255" s="10"/>
      <c r="D255" s="10"/>
    </row>
    <row r="256" spans="1:4" x14ac:dyDescent="0.25">
      <c r="A256" s="1"/>
      <c r="B256" s="2"/>
      <c r="C256" s="10"/>
      <c r="D256" s="10"/>
    </row>
    <row r="257" spans="1:4" x14ac:dyDescent="0.25">
      <c r="A257" s="1"/>
      <c r="B257" s="2"/>
      <c r="C257" s="10"/>
      <c r="D257" s="10"/>
    </row>
    <row r="258" spans="1:4" x14ac:dyDescent="0.25">
      <c r="A258" s="1"/>
      <c r="B258" s="2"/>
      <c r="C258" s="10"/>
      <c r="D258" s="10"/>
    </row>
    <row r="259" spans="1:4" x14ac:dyDescent="0.25">
      <c r="A259" s="2"/>
      <c r="B259" s="2"/>
      <c r="C259" s="10"/>
      <c r="D259" s="10"/>
    </row>
    <row r="260" spans="1:4" x14ac:dyDescent="0.25">
      <c r="A260" s="2"/>
      <c r="B260" s="2"/>
      <c r="C260" s="10"/>
      <c r="D260" s="10"/>
    </row>
    <row r="261" spans="1:4" x14ac:dyDescent="0.25">
      <c r="A261" s="2"/>
      <c r="B261" s="2"/>
      <c r="C261" s="10"/>
      <c r="D261" s="10"/>
    </row>
    <row r="262" spans="1:4" x14ac:dyDescent="0.25">
      <c r="A262" s="51"/>
      <c r="B262" s="51"/>
      <c r="C262" s="52"/>
      <c r="D262" s="52"/>
    </row>
    <row r="263" spans="1:4" x14ac:dyDescent="0.25">
      <c r="A263" s="51"/>
      <c r="B263" s="51"/>
      <c r="C263" s="52"/>
      <c r="D263" s="52"/>
    </row>
    <row r="264" spans="1:4" ht="14.25" thickBot="1" x14ac:dyDescent="0.3">
      <c r="A264" s="3"/>
      <c r="B264" s="3"/>
      <c r="C264" s="11"/>
      <c r="D264" s="11"/>
    </row>
    <row r="265" spans="1:4" ht="14.25" thickBot="1" x14ac:dyDescent="0.3">
      <c r="A265" s="48" t="s">
        <v>22</v>
      </c>
      <c r="B265" s="48">
        <f>SUM(B250:B264)</f>
        <v>0</v>
      </c>
      <c r="C265" s="90" t="s">
        <v>29</v>
      </c>
      <c r="D265" s="49"/>
    </row>
    <row r="266" spans="1:4" ht="15" thickBot="1" x14ac:dyDescent="0.35">
      <c r="A266" s="50"/>
      <c r="B266" s="50"/>
      <c r="C266" s="50"/>
      <c r="D266" s="50"/>
    </row>
    <row r="267" spans="1:4" ht="18.75" thickBot="1" x14ac:dyDescent="0.3">
      <c r="A267" s="43" t="s">
        <v>14</v>
      </c>
      <c r="B267" s="44">
        <v>15</v>
      </c>
      <c r="C267" s="45" t="s">
        <v>23</v>
      </c>
      <c r="D267" s="54">
        <f>$D$248+7</f>
        <v>43440</v>
      </c>
    </row>
    <row r="268" spans="1:4" ht="27.75" thickBot="1" x14ac:dyDescent="0.3">
      <c r="A268" s="46" t="s">
        <v>3</v>
      </c>
      <c r="B268" s="47" t="s">
        <v>15</v>
      </c>
      <c r="C268" s="46" t="s">
        <v>7</v>
      </c>
      <c r="D268" s="46" t="s">
        <v>13</v>
      </c>
    </row>
    <row r="269" spans="1:4" x14ac:dyDescent="0.25">
      <c r="A269" s="5"/>
      <c r="B269" s="4"/>
      <c r="C269" s="9"/>
      <c r="D269" s="9"/>
    </row>
    <row r="270" spans="1:4" x14ac:dyDescent="0.25">
      <c r="A270" s="1"/>
      <c r="B270" s="2"/>
      <c r="C270" s="10"/>
      <c r="D270" s="10"/>
    </row>
    <row r="271" spans="1:4" x14ac:dyDescent="0.25">
      <c r="A271" s="1"/>
      <c r="B271" s="2"/>
      <c r="C271" s="10"/>
      <c r="D271" s="10"/>
    </row>
    <row r="272" spans="1:4" x14ac:dyDescent="0.25">
      <c r="A272" s="1"/>
      <c r="B272" s="2"/>
      <c r="C272" s="10"/>
      <c r="D272" s="10"/>
    </row>
    <row r="273" spans="1:4" x14ac:dyDescent="0.25">
      <c r="A273" s="1"/>
      <c r="B273" s="2"/>
      <c r="C273" s="10"/>
      <c r="D273" s="10"/>
    </row>
    <row r="274" spans="1:4" x14ac:dyDescent="0.25">
      <c r="A274" s="1"/>
      <c r="B274" s="2"/>
      <c r="C274" s="10"/>
      <c r="D274" s="10"/>
    </row>
    <row r="275" spans="1:4" x14ac:dyDescent="0.25">
      <c r="A275" s="1"/>
      <c r="B275" s="2"/>
      <c r="C275" s="10"/>
      <c r="D275" s="10"/>
    </row>
    <row r="276" spans="1:4" x14ac:dyDescent="0.25">
      <c r="A276" s="1"/>
      <c r="B276" s="2"/>
      <c r="C276" s="10"/>
      <c r="D276" s="10"/>
    </row>
    <row r="277" spans="1:4" x14ac:dyDescent="0.25">
      <c r="A277" s="1"/>
      <c r="B277" s="2"/>
      <c r="C277" s="10"/>
      <c r="D277" s="10"/>
    </row>
    <row r="278" spans="1:4" x14ac:dyDescent="0.25">
      <c r="A278" s="2"/>
      <c r="B278" s="2"/>
      <c r="C278" s="10"/>
      <c r="D278" s="10"/>
    </row>
    <row r="279" spans="1:4" x14ac:dyDescent="0.25">
      <c r="A279" s="2"/>
      <c r="B279" s="2"/>
      <c r="C279" s="10"/>
      <c r="D279" s="10"/>
    </row>
    <row r="280" spans="1:4" x14ac:dyDescent="0.25">
      <c r="A280" s="2"/>
      <c r="B280" s="2"/>
      <c r="C280" s="10"/>
      <c r="D280" s="10"/>
    </row>
    <row r="281" spans="1:4" x14ac:dyDescent="0.25">
      <c r="A281" s="51"/>
      <c r="B281" s="51"/>
      <c r="C281" s="52"/>
      <c r="D281" s="52"/>
    </row>
    <row r="282" spans="1:4" x14ac:dyDescent="0.25">
      <c r="A282" s="51"/>
      <c r="B282" s="51"/>
      <c r="C282" s="52"/>
      <c r="D282" s="52"/>
    </row>
    <row r="283" spans="1:4" ht="14.25" thickBot="1" x14ac:dyDescent="0.3">
      <c r="A283" s="3"/>
      <c r="B283" s="3"/>
      <c r="C283" s="11"/>
      <c r="D283" s="11"/>
    </row>
    <row r="284" spans="1:4" ht="14.25" thickBot="1" x14ac:dyDescent="0.3">
      <c r="A284" s="48" t="s">
        <v>22</v>
      </c>
      <c r="B284" s="48">
        <f>SUM(B269:B283)</f>
        <v>0</v>
      </c>
      <c r="C284" s="90" t="s">
        <v>29</v>
      </c>
      <c r="D284" s="49"/>
    </row>
    <row r="285" spans="1:4" ht="15" thickBot="1" x14ac:dyDescent="0.35">
      <c r="A285" s="50"/>
      <c r="B285" s="50"/>
      <c r="C285" s="50"/>
      <c r="D285" s="50"/>
    </row>
    <row r="286" spans="1:4" ht="18.75" thickBot="1" x14ac:dyDescent="0.3">
      <c r="A286" s="43" t="s">
        <v>14</v>
      </c>
      <c r="B286" s="44">
        <v>16</v>
      </c>
      <c r="C286" s="45" t="s">
        <v>23</v>
      </c>
      <c r="D286" s="54">
        <f>$D$267+7</f>
        <v>43447</v>
      </c>
    </row>
    <row r="287" spans="1:4" ht="27.75" thickBot="1" x14ac:dyDescent="0.3">
      <c r="A287" s="46" t="s">
        <v>3</v>
      </c>
      <c r="B287" s="47" t="s">
        <v>15</v>
      </c>
      <c r="C287" s="46" t="s">
        <v>7</v>
      </c>
      <c r="D287" s="46" t="s">
        <v>13</v>
      </c>
    </row>
    <row r="288" spans="1:4" x14ac:dyDescent="0.25">
      <c r="A288" s="5"/>
      <c r="B288" s="4"/>
      <c r="C288" s="9"/>
      <c r="D288" s="9"/>
    </row>
    <row r="289" spans="1:4" x14ac:dyDescent="0.25">
      <c r="A289" s="1"/>
      <c r="B289" s="2"/>
      <c r="C289" s="10"/>
      <c r="D289" s="10"/>
    </row>
    <row r="290" spans="1:4" x14ac:dyDescent="0.25">
      <c r="A290" s="1"/>
      <c r="B290" s="2"/>
      <c r="C290" s="10"/>
      <c r="D290" s="10"/>
    </row>
    <row r="291" spans="1:4" x14ac:dyDescent="0.25">
      <c r="A291" s="1"/>
      <c r="B291" s="2"/>
      <c r="C291" s="10"/>
      <c r="D291" s="10"/>
    </row>
    <row r="292" spans="1:4" x14ac:dyDescent="0.25">
      <c r="A292" s="1"/>
      <c r="B292" s="2"/>
      <c r="C292" s="10"/>
      <c r="D292" s="10"/>
    </row>
    <row r="293" spans="1:4" x14ac:dyDescent="0.25">
      <c r="A293" s="1"/>
      <c r="B293" s="2"/>
      <c r="C293" s="10"/>
      <c r="D293" s="10"/>
    </row>
    <row r="294" spans="1:4" x14ac:dyDescent="0.25">
      <c r="A294" s="1"/>
      <c r="B294" s="2"/>
      <c r="C294" s="10"/>
      <c r="D294" s="10"/>
    </row>
    <row r="295" spans="1:4" x14ac:dyDescent="0.25">
      <c r="A295" s="1"/>
      <c r="B295" s="2"/>
      <c r="C295" s="10"/>
      <c r="D295" s="10"/>
    </row>
    <row r="296" spans="1:4" x14ac:dyDescent="0.25">
      <c r="A296" s="1"/>
      <c r="B296" s="2"/>
      <c r="C296" s="10"/>
      <c r="D296" s="10"/>
    </row>
    <row r="297" spans="1:4" x14ac:dyDescent="0.25">
      <c r="A297" s="2"/>
      <c r="B297" s="2"/>
      <c r="C297" s="10"/>
      <c r="D297" s="10"/>
    </row>
    <row r="298" spans="1:4" x14ac:dyDescent="0.25">
      <c r="A298" s="2"/>
      <c r="B298" s="2"/>
      <c r="C298" s="10"/>
      <c r="D298" s="10"/>
    </row>
    <row r="299" spans="1:4" x14ac:dyDescent="0.25">
      <c r="A299" s="2"/>
      <c r="B299" s="2"/>
      <c r="C299" s="10"/>
      <c r="D299" s="10"/>
    </row>
    <row r="300" spans="1:4" x14ac:dyDescent="0.25">
      <c r="A300" s="51"/>
      <c r="B300" s="51"/>
      <c r="C300" s="52"/>
      <c r="D300" s="52"/>
    </row>
    <row r="301" spans="1:4" x14ac:dyDescent="0.25">
      <c r="A301" s="51"/>
      <c r="B301" s="51"/>
      <c r="C301" s="52"/>
      <c r="D301" s="52"/>
    </row>
    <row r="302" spans="1:4" ht="14.25" thickBot="1" x14ac:dyDescent="0.3">
      <c r="A302" s="3"/>
      <c r="B302" s="3"/>
      <c r="C302" s="11"/>
      <c r="D302" s="11"/>
    </row>
    <row r="303" spans="1:4" ht="14.25" thickBot="1" x14ac:dyDescent="0.3">
      <c r="A303" s="48" t="s">
        <v>22</v>
      </c>
      <c r="B303" s="48">
        <f>SUM(B288:B302)</f>
        <v>0</v>
      </c>
      <c r="C303" s="90" t="s">
        <v>29</v>
      </c>
      <c r="D303" s="49"/>
    </row>
    <row r="304" spans="1:4" ht="14.25" x14ac:dyDescent="0.3">
      <c r="A304" s="50"/>
      <c r="B304" s="50"/>
      <c r="C304" s="50"/>
      <c r="D304" s="50"/>
    </row>
    <row r="305" spans="1:1" x14ac:dyDescent="0.25">
      <c r="A305" s="89" t="s">
        <v>30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 B155:B169 B174:B188 B193:B207 B212:B226 B231:B245 B250:B264 B269:B283 B288:B30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 B170 B189 B208 B227 B246 B265 B284 B303">
      <formula1>0</formula1>
      <formula2>NbPerWeek * NbQuartPer</formula2>
    </dataValidation>
    <dataValidation type="list" allowBlank="1" showInputMessage="1" showErrorMessage="1" sqref="A3:A17 A22:A36 A41:A55 A60:A74 A79:A93 A98:A112 A117:A131 A136:A150 A155:A169 A174:A188 A193:A207 A212:A226 A231:A245 A250:A264 A269:A283 A288:A30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2</xdr:row>
                <xdr:rowOff>228600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Germanier Axel</dc:creator>
  <cp:lastModifiedBy>Germanier Axel</cp:lastModifiedBy>
  <cp:lastPrinted>2013-08-29T11:33:15Z</cp:lastPrinted>
  <dcterms:created xsi:type="dcterms:W3CDTF">1996-10-21T11:03:58Z</dcterms:created>
  <dcterms:modified xsi:type="dcterms:W3CDTF">2018-08-30T13:31:49Z</dcterms:modified>
</cp:coreProperties>
</file>